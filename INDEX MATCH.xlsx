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 Desktop Python practice\Data Anylist\"/>
    </mc:Choice>
  </mc:AlternateContent>
  <xr:revisionPtr revIDLastSave="0" documentId="8_{442065E5-D94C-4ABD-9B66-D21F7D4350B5}" xr6:coauthVersionLast="47" xr6:coauthVersionMax="47" xr10:uidLastSave="{00000000-0000-0000-0000-000000000000}"/>
  <bookViews>
    <workbookView xWindow="-108" yWindow="-108" windowWidth="23256" windowHeight="12456" activeTab="3" xr2:uid="{F28172AE-9028-4E9D-AFD7-18B611A6AC7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G4" i="4"/>
  <c r="G3" i="4"/>
  <c r="B10" i="3"/>
  <c r="B9" i="3"/>
  <c r="B8" i="3"/>
  <c r="D3" i="3"/>
  <c r="D2" i="3"/>
  <c r="I5" i="1"/>
  <c r="C16" i="1"/>
  <c r="E15" i="1" a="1"/>
  <c r="D15" i="1"/>
  <c r="C15" i="1"/>
  <c r="D13" i="1"/>
  <c r="C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<sst xmlns="http://schemas.openxmlformats.org/spreadsheetml/2006/main" count="96" uniqueCount="66">
  <si>
    <t>Emp Id</t>
  </si>
  <si>
    <t>Name</t>
  </si>
  <si>
    <t>Department</t>
  </si>
  <si>
    <t>Salary</t>
  </si>
  <si>
    <t>Product</t>
  </si>
  <si>
    <t>laptop</t>
  </si>
  <si>
    <t>Mouse</t>
  </si>
  <si>
    <t>Keyboard</t>
  </si>
  <si>
    <t>Monitor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</si>
  <si>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</si>
  <si>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</si>
  <si>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</si>
  <si>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</si>
  <si>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</si>
  <si>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</si>
  <si>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</si>
  <si>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</si>
  <si>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</si>
  <si>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</si>
  <si>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Supriya</t>
  </si>
  <si>
    <t>Karan</t>
  </si>
  <si>
    <t>Naveen</t>
  </si>
  <si>
    <t>Kirthi</t>
  </si>
  <si>
    <t>kalesh</t>
  </si>
  <si>
    <t>Rudhra</t>
  </si>
  <si>
    <t>Brunda</t>
  </si>
  <si>
    <t>Shilpa</t>
  </si>
  <si>
    <t>tanuja</t>
  </si>
  <si>
    <t>Revati</t>
  </si>
  <si>
    <t>IT</t>
  </si>
  <si>
    <t>HR</t>
  </si>
  <si>
    <t>Sales</t>
  </si>
  <si>
    <t>Ratail</t>
  </si>
  <si>
    <t>Product Manager</t>
  </si>
  <si>
    <t>Senior excecutive</t>
  </si>
  <si>
    <t>NONIT</t>
  </si>
  <si>
    <t>Manager</t>
  </si>
  <si>
    <t>Finance</t>
  </si>
  <si>
    <t>Testing</t>
  </si>
  <si>
    <t>Price</t>
  </si>
  <si>
    <t>Stock</t>
  </si>
  <si>
    <t>Find the Hloopup of Keyboard</t>
  </si>
  <si>
    <t>Find The Vlookup of E102.E106,HR</t>
  </si>
  <si>
    <t>department</t>
  </si>
  <si>
    <t>Hike</t>
  </si>
  <si>
    <t>SALES</t>
  </si>
  <si>
    <t>Find Xlookup of IT, Value not found, E102 details</t>
  </si>
  <si>
    <t>Priya</t>
  </si>
  <si>
    <t>Malthi</t>
  </si>
  <si>
    <t>Rahul</t>
  </si>
  <si>
    <t>Anu</t>
  </si>
  <si>
    <t>find the Index vales of Sales</t>
  </si>
  <si>
    <t>Match</t>
  </si>
  <si>
    <t>find the match values of Priya</t>
  </si>
  <si>
    <t>No MATCH</t>
  </si>
  <si>
    <t>anu in the po sition 4</t>
  </si>
  <si>
    <t>1- positon priya is</t>
  </si>
  <si>
    <t>remembar= 1= less than</t>
  </si>
  <si>
    <t>Index+Match</t>
  </si>
  <si>
    <t>INDEX+MATCH</t>
  </si>
  <si>
    <t>EID</t>
  </si>
  <si>
    <t>NAME</t>
  </si>
  <si>
    <t>DEPARTMENT</t>
  </si>
  <si>
    <t>SALARY</t>
  </si>
  <si>
    <t>FINANCE</t>
  </si>
  <si>
    <t xml:space="preserve">Find the depart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</si>
</sst>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0D5D-D690-4FF0-B479-B0C91846B12E}">
  <dimension ref="A1:M16"/>
  <sheetViews>
    <sheetView workbookViewId="0">
      <selection activeCell="B15" sqref="B15"/>
    </sheetView>
  </sheetViews>
  <sheetFormatPr defaultColWidth="18.109375" defaultRowHeight="32.4" customHeight="1" x14ac:dyDescent="0.3"/>
  <cols>
    <col min="4" max="7" width="18.109375" style="1"/>
  </cols>
  <sheetData>
    <row r="1" spans="1:13" ht="32.4" customHeight="1" x14ac:dyDescent="0.3">
      <c r="A1" t="s">
        <v>0</v>
      </c>
      <c r="B1" t="s">
        <v>1</v>
      </c>
      <c r="C1" t="s">
        <v>2</v>
      </c>
      <c r="D1" s="1" t="s">
        <v>3</v>
      </c>
      <c r="E1" s="1" t="s">
        <v>10</v>
      </c>
      <c r="F1" s="1" t="s">
        <v>14</v>
      </c>
      <c r="G1" s="1" t="s">
        <v>30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7</v>
      </c>
    </row>
    <row r="2" spans="1:13" ht="32.4" customHeight="1" x14ac:dyDescent="0.3">
      <c r="A2" t="s">
        <v>9</v>
      </c>
      <c r="B2" t="s">
        <v>19</v>
      </c>
      <c r="C2" t="s">
        <v>29</v>
      </c>
      <c r="D2" s="1">
        <v>1000000</v>
      </c>
      <c r="H2" t="s">
        <v>39</v>
      </c>
      <c r="I2">
        <v>50000</v>
      </c>
      <c r="J2">
        <v>800</v>
      </c>
      <c r="K2">
        <v>1500</v>
      </c>
      <c r="L2">
        <v>12000</v>
      </c>
    </row>
    <row r="3" spans="1:13" ht="32.4" customHeight="1" x14ac:dyDescent="0.3">
      <c r="A3" t="s">
        <v>10</v>
      </c>
      <c r="B3" t="s">
        <v>20</v>
      </c>
      <c r="C3" t="s">
        <v>30</v>
      </c>
      <c r="D3" s="1">
        <v>550000</v>
      </c>
      <c r="H3" t="s">
        <v>40</v>
      </c>
      <c r="I3">
        <v>20</v>
      </c>
      <c r="J3">
        <v>100</v>
      </c>
      <c r="K3">
        <v>50</v>
      </c>
      <c r="L3">
        <v>30</v>
      </c>
    </row>
    <row r="4" spans="1:13" ht="32.4" customHeight="1" x14ac:dyDescent="0.3">
      <c r="A4" t="s">
        <v>11</v>
      </c>
      <c r="B4" t="s">
        <v>21</v>
      </c>
      <c r="C4" t="s">
        <v>31</v>
      </c>
      <c r="D4" s="1">
        <v>590000</v>
      </c>
    </row>
    <row r="5" spans="1:13" ht="32.4" customHeight="1" x14ac:dyDescent="0.3">
      <c r="A5" t="s">
        <v>12</v>
      </c>
      <c r="B5" t="s">
        <v>22</v>
      </c>
      <c r="C5" t="s">
        <v>32</v>
      </c>
      <c r="D5" s="1">
        <v>700000</v>
      </c>
      <c r="H5" s="2" t="s">
        <v>41</v>
      </c>
      <c r="I5">
        <f>HLOOKUP(M1,I1:L3,2,FALSE)</f>
        <v>1500</v>
      </c>
    </row>
    <row r="6" spans="1:13" ht="32.4" customHeight="1" x14ac:dyDescent="0.3">
      <c r="A6" t="s">
        <v>13</v>
      </c>
      <c r="B6" t="s">
        <v>23</v>
      </c>
      <c r="C6" t="s">
        <v>33</v>
      </c>
      <c r="D6" s="1">
        <v>600000</v>
      </c>
    </row>
    <row r="7" spans="1:13" ht="32.4" customHeight="1" x14ac:dyDescent="0.3">
      <c r="A7" t="s">
        <v>14</v>
      </c>
      <c r="B7" t="s">
        <v>24</v>
      </c>
      <c r="C7" t="s">
        <v>34</v>
      </c>
      <c r="D7" s="1">
        <v>750000</v>
      </c>
    </row>
    <row r="8" spans="1:13" ht="32.4" customHeight="1" x14ac:dyDescent="0.3">
      <c r="A8" t="s">
        <v>15</v>
      </c>
      <c r="B8" t="s">
        <v>25</v>
      </c>
      <c r="C8" t="s">
        <v>35</v>
      </c>
      <c r="D8" s="1">
        <v>800000</v>
      </c>
    </row>
    <row r="9" spans="1:13" ht="32.4" customHeight="1" x14ac:dyDescent="0.3">
      <c r="A9" t="s">
        <v>16</v>
      </c>
      <c r="B9" t="s">
        <v>26</v>
      </c>
      <c r="C9" t="s">
        <v>36</v>
      </c>
      <c r="D9" s="1">
        <v>450000</v>
      </c>
    </row>
    <row r="10" spans="1:13" ht="32.4" customHeight="1" x14ac:dyDescent="0.3">
      <c r="A10" t="s">
        <v>17</v>
      </c>
      <c r="B10" t="s">
        <v>27</v>
      </c>
      <c r="C10" t="s">
        <v>37</v>
      </c>
      <c r="D10" s="1">
        <v>520000</v>
      </c>
    </row>
    <row r="11" spans="1:13" ht="32.4" customHeight="1" x14ac:dyDescent="0.3">
      <c r="A11" t="s">
        <v>18</v>
      </c>
      <c r="B11" t="s">
        <v>28</v>
      </c>
      <c r="C11" t="s">
        <v>38</v>
      </c>
      <c r="D11" s="1">
        <v>820000</v>
      </c>
    </row>
    <row r="13" spans="1:13" ht="32.4" customHeight="1" x14ac:dyDescent="0.3">
      <c r="A13" s="4" t="s">
        <v>42</v>
      </c>
      <c r="B13" s="3"/>
      <c r="C13" s="1" t="str">
        <f>VLOOKUP(E1,A2:D11,2,FALSE)</f>
        <v>Karan</v>
      </c>
      <c r="D13" s="1">
        <f>VLOOKUP(F1,A2:D11,4,FALSE)</f>
        <v>750000</v>
      </c>
    </row>
    <row r="15" spans="1:13" ht="51" customHeight="1" x14ac:dyDescent="0.3">
      <c r="A15" s="2" t="s">
        <v>46</v>
      </c>
      <c r="C15" t="e">
        <f>_xlfn.XLOOKUP(G1,A2:A11,C2:C11)</f>
        <v>#N/A</v>
      </c>
      <c r="D15" s="1" t="str">
        <f>_xlfn.XLOOKUP(E1,A1:A11,C1:C11)</f>
        <v>HR</v>
      </c>
      <c r="E15" s="1" t="str" cm="1">
        <f t="array" ref="E15:H15">_xlfn.XLOOKUP(E1,A1:A11,A1:D11)</f>
        <v>E102</v>
      </c>
      <c r="F15" s="1" t="str">
        <v>Karan</v>
      </c>
      <c r="G15" s="1" t="str">
        <v>HR</v>
      </c>
      <c r="H15">
        <v>550000</v>
      </c>
    </row>
    <row r="16" spans="1:13" ht="32.4" customHeight="1" x14ac:dyDescent="0.3">
      <c r="C16">
        <f>_xlfn.XLOOKUP(Sheet1!C2,Sheet2!A1:A4,Sheet2!B1:B4)</f>
        <v>7000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4E0C-EF6F-4A70-942C-A2C93B5B4801}">
  <dimension ref="A1:C6"/>
  <sheetViews>
    <sheetView workbookViewId="0">
      <selection activeCell="A6" sqref="A6"/>
    </sheetView>
  </sheetViews>
  <sheetFormatPr defaultColWidth="18" defaultRowHeight="36.6" customHeight="1" x14ac:dyDescent="0.3"/>
  <sheetData>
    <row r="1" spans="1:3" ht="36.6" customHeight="1" x14ac:dyDescent="0.3">
      <c r="A1" t="s">
        <v>43</v>
      </c>
      <c r="B1" t="s">
        <v>44</v>
      </c>
      <c r="C1" t="s">
        <v>29</v>
      </c>
    </row>
    <row r="2" spans="1:3" ht="36.6" customHeight="1" x14ac:dyDescent="0.3">
      <c r="A2" t="s">
        <v>30</v>
      </c>
      <c r="B2">
        <v>5000</v>
      </c>
    </row>
    <row r="3" spans="1:3" ht="36.6" customHeight="1" x14ac:dyDescent="0.3">
      <c r="A3" t="s">
        <v>29</v>
      </c>
      <c r="B3">
        <v>7000</v>
      </c>
    </row>
    <row r="4" spans="1:3" ht="36.6" customHeight="1" x14ac:dyDescent="0.3">
      <c r="A4" t="s">
        <v>45</v>
      </c>
      <c r="B4">
        <v>6000</v>
      </c>
    </row>
    <row r="6" spans="1:3" ht="70.8" customHeight="1" x14ac:dyDescent="0.3">
      <c r="A6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D861-639A-4A8F-ACEC-FF109B2E7D84}">
  <dimension ref="A1:F10"/>
  <sheetViews>
    <sheetView topLeftCell="A2" workbookViewId="0">
      <selection activeCell="F7" sqref="F7"/>
    </sheetView>
  </sheetViews>
  <sheetFormatPr defaultColWidth="18.21875" defaultRowHeight="33.6" customHeight="1" x14ac:dyDescent="0.3"/>
  <sheetData>
    <row r="1" spans="1:6" ht="33.6" customHeight="1" x14ac:dyDescent="0.3">
      <c r="A1" t="s">
        <v>47</v>
      </c>
      <c r="B1" t="s">
        <v>30</v>
      </c>
      <c r="D1" t="s">
        <v>51</v>
      </c>
    </row>
    <row r="2" spans="1:6" ht="33.6" customHeight="1" x14ac:dyDescent="0.3">
      <c r="A2" t="s">
        <v>48</v>
      </c>
      <c r="B2" t="s">
        <v>29</v>
      </c>
      <c r="D2" t="str">
        <f>INDEX(B1:B4,3)</f>
        <v>Sales</v>
      </c>
    </row>
    <row r="3" spans="1:6" ht="33.6" customHeight="1" x14ac:dyDescent="0.3">
      <c r="A3" t="s">
        <v>49</v>
      </c>
      <c r="B3" t="s">
        <v>31</v>
      </c>
      <c r="D3" t="str">
        <f>INDEX(B1:B4,2)</f>
        <v>IT</v>
      </c>
    </row>
    <row r="4" spans="1:6" ht="33.6" customHeight="1" x14ac:dyDescent="0.3">
      <c r="A4" t="s">
        <v>50</v>
      </c>
      <c r="B4" t="s">
        <v>37</v>
      </c>
    </row>
    <row r="6" spans="1:6" ht="33.6" customHeight="1" x14ac:dyDescent="0.3">
      <c r="A6" t="s">
        <v>52</v>
      </c>
      <c r="F6" t="s">
        <v>58</v>
      </c>
    </row>
    <row r="7" spans="1:6" ht="33.6" customHeight="1" x14ac:dyDescent="0.3">
      <c r="A7" t="s">
        <v>47</v>
      </c>
      <c r="B7" t="s">
        <v>53</v>
      </c>
    </row>
    <row r="8" spans="1:6" ht="33.6" customHeight="1" x14ac:dyDescent="0.3">
      <c r="A8" t="s">
        <v>48</v>
      </c>
      <c r="B8">
        <f>MATCH("Priya",A1:A4,0)</f>
        <v>1</v>
      </c>
      <c r="C8" t="s">
        <v>56</v>
      </c>
      <c r="D8" s="2" t="s">
        <v>57</v>
      </c>
    </row>
    <row r="9" spans="1:6" ht="33.6" customHeight="1" x14ac:dyDescent="0.3">
      <c r="A9" t="s">
        <v>49</v>
      </c>
      <c r="B9" t="e">
        <f>MATCH("priya",B1:B4,0)</f>
        <v>#N/A</v>
      </c>
      <c r="C9" t="s">
        <v>54</v>
      </c>
    </row>
    <row r="10" spans="1:6" ht="33.6" customHeight="1" x14ac:dyDescent="0.3">
      <c r="A10" t="s">
        <v>50</v>
      </c>
      <c r="B10">
        <f>MATCH("Anu",A1:A4,-1)</f>
        <v>4</v>
      </c>
      <c r="C10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5D92-1DED-48DB-BA4F-0D227601E0FF}">
  <dimension ref="A1:J7"/>
  <sheetViews>
    <sheetView tabSelected="1" workbookViewId="0">
      <selection activeCell="G6" sqref="G6"/>
    </sheetView>
  </sheetViews>
  <sheetFormatPr defaultColWidth="16.88671875" defaultRowHeight="28.2" customHeight="1" x14ac:dyDescent="0.3"/>
  <sheetData>
    <row r="1" spans="1:10" ht="28.2" customHeight="1" x14ac:dyDescent="0.3">
      <c r="A1" t="s">
        <v>59</v>
      </c>
    </row>
    <row r="3" spans="1:10" ht="28.2" customHeight="1" x14ac:dyDescent="0.3">
      <c r="A3" t="s">
        <v>60</v>
      </c>
      <c r="B3" t="s">
        <v>61</v>
      </c>
      <c r="C3" t="s">
        <v>62</v>
      </c>
      <c r="D3" t="s">
        <v>63</v>
      </c>
      <c r="E3" t="s">
        <v>11</v>
      </c>
      <c r="F3" t="s">
        <v>65</v>
      </c>
      <c r="G3" t="str">
        <f>INDEX(C3:C7,MATCH(E3,A3:A7,0))</f>
        <v>SALES</v>
      </c>
      <c r="H3" t="s">
        <v>10</v>
      </c>
      <c r="I3" t="s">
        <v>12</v>
      </c>
      <c r="J3">
        <v>30000</v>
      </c>
    </row>
    <row r="4" spans="1:10" ht="28.2" customHeight="1" x14ac:dyDescent="0.3">
      <c r="A4" t="s">
        <v>9</v>
      </c>
      <c r="B4" t="s">
        <v>47</v>
      </c>
      <c r="C4" t="s">
        <v>30</v>
      </c>
      <c r="D4">
        <v>30000</v>
      </c>
      <c r="G4" t="str">
        <f>INDEX(C3:C7,MATCH(H3,A3:A7,0))</f>
        <v>IT</v>
      </c>
    </row>
    <row r="5" spans="1:10" ht="28.2" customHeight="1" x14ac:dyDescent="0.3">
      <c r="A5" t="s">
        <v>10</v>
      </c>
      <c r="B5" t="s">
        <v>48</v>
      </c>
      <c r="C5" t="s">
        <v>29</v>
      </c>
      <c r="D5">
        <v>40000</v>
      </c>
      <c r="G5" t="e">
        <f>INDEX(D3:D7,MATCH(J3,A3:A7,0))</f>
        <v>#N/A</v>
      </c>
    </row>
    <row r="6" spans="1:10" ht="28.2" customHeight="1" x14ac:dyDescent="0.3">
      <c r="A6" t="s">
        <v>11</v>
      </c>
      <c r="B6" t="s">
        <v>49</v>
      </c>
      <c r="C6" t="s">
        <v>45</v>
      </c>
      <c r="D6">
        <v>35000</v>
      </c>
    </row>
    <row r="7" spans="1:10" ht="28.2" customHeight="1" x14ac:dyDescent="0.3">
      <c r="A7" t="s">
        <v>12</v>
      </c>
      <c r="B7" t="s">
        <v>50</v>
      </c>
      <c r="C7" t="s">
        <v>64</v>
      </c>
      <c r="D7">
        <v>45000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N Badami</dc:creator>
  <cp:lastModifiedBy>Supriya N Badami</cp:lastModifiedBy>
  <dcterms:created xsi:type="dcterms:W3CDTF">2026-09-30T05:13:56Z</dcterms:created>
  <dcterms:modified xsi:type="dcterms:W3CDTF">2026-09-30T07:00:01Z</dcterms:modified>
</cp:coreProperties>
</file>